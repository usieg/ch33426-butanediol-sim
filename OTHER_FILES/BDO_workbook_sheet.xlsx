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\chee\407\re\BDO\SUB1\SUPPORT_FILES\"/>
    </mc:Choice>
  </mc:AlternateContent>
  <xr:revisionPtr revIDLastSave="0" documentId="8_{4378F513-F67C-42DA-8C44-2620A270B627}" xr6:coauthVersionLast="47" xr6:coauthVersionMax="47" xr10:uidLastSave="{00000000-0000-0000-0000-000000000000}"/>
  <bookViews>
    <workbookView xWindow="-110" yWindow="-110" windowWidth="25820" windowHeight="16220" xr2:uid="{43BAB1A8-80DB-4345-8B50-A7ECFD04D842}"/>
  </bookViews>
  <sheets>
    <sheet name="Isomerizaton" sheetId="1" r:id="rId1"/>
    <sheet name="Hydroformylation " sheetId="2" r:id="rId2"/>
    <sheet name="Hydrogen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8" i="1" l="1"/>
  <c r="K9" i="1" s="1"/>
  <c r="K7" i="1"/>
  <c r="J6" i="1"/>
  <c r="J8" i="1" s="1"/>
  <c r="J9" i="1" s="1"/>
  <c r="J7" i="1" l="1"/>
  <c r="I6" i="1"/>
  <c r="H6" i="1" l="1"/>
  <c r="I8" i="1"/>
  <c r="I9" i="1" s="1"/>
  <c r="I7" i="1"/>
  <c r="H7" i="1" l="1"/>
  <c r="H8" i="1"/>
  <c r="H9" i="1" s="1"/>
</calcChain>
</file>

<file path=xl/sharedStrings.xml><?xml version="1.0" encoding="utf-8"?>
<sst xmlns="http://schemas.openxmlformats.org/spreadsheetml/2006/main" count="22" uniqueCount="18">
  <si>
    <t>Isomerization</t>
  </si>
  <si>
    <t>Abrv.</t>
  </si>
  <si>
    <t>Name</t>
  </si>
  <si>
    <t>AA</t>
  </si>
  <si>
    <t>PO</t>
  </si>
  <si>
    <t>ACTN</t>
  </si>
  <si>
    <t>PALD</t>
  </si>
  <si>
    <t>Propylene-Oxide</t>
  </si>
  <si>
    <t>Allyl-Alcohol</t>
  </si>
  <si>
    <t>Acetone</t>
  </si>
  <si>
    <t>Propionaldehyde</t>
  </si>
  <si>
    <t>BP(degC)</t>
  </si>
  <si>
    <t>HBA</t>
  </si>
  <si>
    <t>BDO</t>
  </si>
  <si>
    <t>lbs</t>
  </si>
  <si>
    <t>MW(lb/lbmol)</t>
  </si>
  <si>
    <t>lbmol</t>
  </si>
  <si>
    <t>Necessary Flowrates (1/hr)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</si>
</sst>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MS Reference Sans Serif"/>
      <family val="2"/>
    </font>
    <font>
      <sz val="11"/>
      <color theme="1"/>
      <name val="MS Reference Sans Serif"/>
      <family val="2"/>
    </font>
    <font>
      <b/>
      <sz val="11"/>
      <color theme="1"/>
      <name val="MS Reference Sans Serif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0" borderId="1" xfId="0" applyFont="1" applyBorder="1" applyAlignment="1">
      <alignment horizontal="center"/>
    </xf>
    <xf numFmtId="43" fontId="0" fillId="0" borderId="0" xfId="1" applyFont="1"/>
    <xf numFmtId="43" fontId="0" fillId="0" borderId="0" xfId="0" applyNumberFormat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E247D-5053-45F0-95A5-C14DE4A6D791}">
  <dimension ref="B4:L9"/>
  <sheetViews>
    <sheetView tabSelected="1" workbookViewId="0">
      <selection activeCell="E13" sqref="E13"/>
    </sheetView>
  </sheetViews>
  <sheetFormatPr defaultRowHeight="15" x14ac:dyDescent="0.35"/>
  <cols>
    <col min="1" max="1" width="7.2109375" customWidth="1"/>
    <col min="2" max="3" width="13.85546875" bestFit="1" customWidth="1"/>
    <col min="4" max="4" width="12.42578125" bestFit="1" customWidth="1"/>
    <col min="5" max="5" width="9.42578125" customWidth="1"/>
    <col min="8" max="8" width="15" bestFit="1" customWidth="1"/>
    <col min="9" max="11" width="14" bestFit="1" customWidth="1"/>
  </cols>
  <sheetData>
    <row r="4" spans="2:12" x14ac:dyDescent="0.35">
      <c r="B4" s="9" t="s">
        <v>0</v>
      </c>
      <c r="C4" s="10"/>
      <c r="D4" s="10"/>
      <c r="E4" s="11"/>
      <c r="H4" s="2" t="s">
        <v>17</v>
      </c>
      <c r="I4" s="2"/>
      <c r="J4" s="2"/>
      <c r="K4" s="2"/>
    </row>
    <row r="5" spans="2:12" x14ac:dyDescent="0.35">
      <c r="B5" s="6" t="s">
        <v>1</v>
      </c>
      <c r="C5" s="6" t="s">
        <v>2</v>
      </c>
      <c r="D5" s="6" t="s">
        <v>15</v>
      </c>
      <c r="E5" s="6" t="s">
        <v>11</v>
      </c>
      <c r="H5" s="1" t="s">
        <v>4</v>
      </c>
      <c r="I5" s="1" t="s">
        <v>3</v>
      </c>
      <c r="J5" s="1" t="s">
        <v>12</v>
      </c>
      <c r="K5" s="1" t="s">
        <v>13</v>
      </c>
    </row>
    <row r="6" spans="2:12" x14ac:dyDescent="0.35">
      <c r="B6" s="3" t="s">
        <v>4</v>
      </c>
      <c r="C6" s="3" t="s">
        <v>7</v>
      </c>
      <c r="D6" s="3">
        <v>58.08</v>
      </c>
      <c r="E6" s="3">
        <v>94</v>
      </c>
      <c r="H6" s="8">
        <f>I6/(0.834*0.83016)</f>
        <v>128151159.51695268</v>
      </c>
      <c r="I6" s="8">
        <f>J6/0.8453</f>
        <v>88725896.131550923</v>
      </c>
      <c r="J6" s="8">
        <f>K6</f>
        <v>75000000</v>
      </c>
      <c r="K6" s="7">
        <v>75000000</v>
      </c>
      <c r="L6" t="s">
        <v>14</v>
      </c>
    </row>
    <row r="7" spans="2:12" x14ac:dyDescent="0.35">
      <c r="B7" s="4" t="s">
        <v>3</v>
      </c>
      <c r="C7" s="4" t="s">
        <v>8</v>
      </c>
      <c r="D7" s="4">
        <v>58.11</v>
      </c>
      <c r="E7" s="4">
        <v>97</v>
      </c>
      <c r="H7" s="8">
        <f>ROUND(H6,-7)</f>
        <v>130000000</v>
      </c>
      <c r="I7" s="8">
        <f t="shared" ref="I7:J7" si="0">ROUND(I6,-7)</f>
        <v>90000000</v>
      </c>
      <c r="J7" s="8">
        <f t="shared" si="0"/>
        <v>80000000</v>
      </c>
      <c r="K7" s="8">
        <f>ROUND(K6,-7)</f>
        <v>80000000</v>
      </c>
      <c r="L7" t="s">
        <v>14</v>
      </c>
    </row>
    <row r="8" spans="2:12" x14ac:dyDescent="0.35">
      <c r="B8" s="4" t="s">
        <v>5</v>
      </c>
      <c r="C8" s="4" t="s">
        <v>9</v>
      </c>
      <c r="D8" s="4">
        <v>58.08</v>
      </c>
      <c r="E8" s="4">
        <v>56</v>
      </c>
      <c r="H8" s="8">
        <f>H6/D6</f>
        <v>2206459.3580742544</v>
      </c>
      <c r="I8" s="8">
        <f>I6/D7</f>
        <v>1526861.0588805873</v>
      </c>
      <c r="J8" s="8">
        <f>J6/D8</f>
        <v>1291322.3140495869</v>
      </c>
      <c r="K8" s="8">
        <f>K6/D9</f>
        <v>1291322.3140495869</v>
      </c>
      <c r="L8" t="s">
        <v>16</v>
      </c>
    </row>
    <row r="9" spans="2:12" x14ac:dyDescent="0.35">
      <c r="B9" s="5" t="s">
        <v>6</v>
      </c>
      <c r="C9" s="5" t="s">
        <v>10</v>
      </c>
      <c r="D9" s="5">
        <v>58.08</v>
      </c>
      <c r="E9" s="5">
        <v>49</v>
      </c>
      <c r="H9" s="8">
        <f>_xlfn.CEILING.MATH(H8,100)</f>
        <v>2206500</v>
      </c>
      <c r="I9" s="8">
        <f t="shared" ref="I9:K9" si="1">_xlfn.CEILING.MATH(I8,100)</f>
        <v>1526900</v>
      </c>
      <c r="J9" s="8">
        <f t="shared" si="1"/>
        <v>1291400</v>
      </c>
      <c r="K9" s="8">
        <f t="shared" si="1"/>
        <v>1291400</v>
      </c>
      <c r="L9" t="s">
        <v>16</v>
      </c>
    </row>
  </sheetData>
  <mergeCells count="2">
    <mergeCell ref="H4:K4"/>
    <mergeCell ref="B4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E724B-CA25-4D09-BABE-0E011A42B3E4}">
  <dimension ref="A1"/>
  <sheetViews>
    <sheetView workbookViewId="0"/>
  </sheetViews>
  <sheetFormatPr defaultRowHeight="1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8BFE2-3A62-4EFB-A810-186DAD4BCC41}">
  <dimension ref="A1"/>
  <sheetViews>
    <sheetView workbookViewId="0"/>
  </sheetViews>
  <sheetFormatPr defaultRowHeight="1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Isomerizaton</vt:lpstr>
      <vt:lpstr>Hydroformylation </vt:lpstr>
      <vt:lpstr>Hydrogenation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usieg</dc:creator>
  <cp:lastModifiedBy>usieg</cp:lastModifiedBy>
  <dcterms:created xsi:type="dcterms:W3CDTF">2026-09-27T06:42:40Z</dcterms:created>
  <dcterms:modified xsi:type="dcterms:W3CDTF">2026-09-27T18:46:25Z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38202f9-8d41-4950-b014-f183e397b746_Enabled">
    <vt:lpwstr>true</vt:lpwstr>
  </property>
  <property fmtid="{D5CDD505-2E9C-101B-9397-08002B2CF9AE}" pid="3" name="MSIP_Label_638202f9-8d41-4950-b014-f183e397b746_SetDate">
    <vt:lpwstr>2026-09-27T18:44:27Z</vt:lpwstr>
  </property>
  <property fmtid="{D5CDD505-2E9C-101B-9397-08002B2CF9AE}" pid="4" name="MSIP_Label_638202f9-8d41-4950-b014-f183e397b746_Method">
    <vt:lpwstr>Standard</vt:lpwstr>
  </property>
  <property fmtid="{D5CDD505-2E9C-101B-9397-08002B2CF9AE}" pid="5" name="MSIP_Label_638202f9-8d41-4950-b014-f183e397b746_Name">
    <vt:lpwstr>defa4170-0d19-0005-0004-bc88714345d2</vt:lpwstr>
  </property>
  <property fmtid="{D5CDD505-2E9C-101B-9397-08002B2CF9AE}" pid="6" name="MSIP_Label_638202f9-8d41-4950-b014-f183e397b746_SiteId">
    <vt:lpwstr>13b3b0ce-cd75-49a4-bfea-0a03b01ff1ab</vt:lpwstr>
  </property>
  <property fmtid="{D5CDD505-2E9C-101B-9397-08002B2CF9AE}" pid="7" name="MSIP_Label_638202f9-8d41-4950-b014-f183e397b746_ActionId">
    <vt:lpwstr>45057844-eeb4-410d-96f3-9a3f400ad7f9</vt:lpwstr>
  </property>
  <property fmtid="{D5CDD505-2E9C-101B-9397-08002B2CF9AE}" pid="8" name="MSIP_Label_638202f9-8d41-4950-b014-f183e397b746_ContentBits">
    <vt:lpwstr>0</vt:lpwstr>
  </property>
  <property fmtid="{D5CDD505-2E9C-101B-9397-08002B2CF9AE}" pid="9" name="MSIP_Label_638202f9-8d41-4950-b014-f183e397b746_Tag">
    <vt:lpwstr>10, 3, 0, 1</vt:lpwstr>
  </property>
</Properties>
</file>